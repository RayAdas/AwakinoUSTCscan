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waki\Desktop\AwakinoUSTCscan\doc\"/>
    </mc:Choice>
  </mc:AlternateContent>
  <xr:revisionPtr revIDLastSave="0" documentId="13_ncr:1_{7055215E-4A04-497C-B81A-8A69EC2D3F5C}" xr6:coauthVersionLast="47" xr6:coauthVersionMax="47" xr10:uidLastSave="{00000000-0000-0000-0000-000000000000}"/>
  <bookViews>
    <workbookView xWindow="955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I5" i="1" s="1"/>
  <c r="F6" i="1"/>
  <c r="I6" i="1" s="1"/>
  <c r="F7" i="1"/>
  <c r="F8" i="1"/>
  <c r="F9" i="1"/>
  <c r="F10" i="1"/>
  <c r="F11" i="1"/>
  <c r="F12" i="1"/>
  <c r="F13" i="1"/>
  <c r="I13" i="1" s="1"/>
  <c r="F14" i="1"/>
  <c r="I14" i="1" s="1"/>
  <c r="F15" i="1"/>
  <c r="I15" i="1" s="1"/>
  <c r="F16" i="1"/>
  <c r="I16" i="1" s="1"/>
  <c r="F17" i="1"/>
  <c r="I17" i="1" s="1"/>
  <c r="F18" i="1"/>
  <c r="F19" i="1"/>
  <c r="I19" i="1" s="1"/>
  <c r="F20" i="1"/>
  <c r="F21" i="1"/>
  <c r="F22" i="1"/>
  <c r="I22" i="1" s="1"/>
  <c r="F23" i="1"/>
  <c r="F24" i="1"/>
  <c r="F25" i="1"/>
  <c r="F26" i="1"/>
  <c r="F27" i="1"/>
  <c r="F28" i="1"/>
  <c r="F29" i="1"/>
  <c r="I29" i="1" s="1"/>
  <c r="F30" i="1"/>
  <c r="F31" i="1"/>
  <c r="F32" i="1"/>
  <c r="F33" i="1"/>
  <c r="F34" i="1"/>
  <c r="F35" i="1"/>
  <c r="F36" i="1"/>
  <c r="F37" i="1"/>
  <c r="F38" i="1"/>
  <c r="F39" i="1"/>
  <c r="F1" i="1"/>
  <c r="I4" i="1"/>
  <c r="I7" i="1"/>
  <c r="I8" i="1"/>
  <c r="I9" i="1"/>
  <c r="I10" i="1"/>
  <c r="I11" i="1"/>
  <c r="I12" i="1"/>
  <c r="I18" i="1"/>
  <c r="I20" i="1"/>
  <c r="I21" i="1"/>
  <c r="I23" i="1"/>
  <c r="I24" i="1"/>
  <c r="I25" i="1"/>
  <c r="I26" i="1"/>
  <c r="I27" i="1"/>
  <c r="I28" i="1"/>
  <c r="I30" i="1"/>
  <c r="I31" i="1"/>
  <c r="I32" i="1"/>
  <c r="I33" i="1"/>
  <c r="I34" i="1"/>
  <c r="I35" i="1"/>
  <c r="I36" i="1"/>
  <c r="I37" i="1"/>
  <c r="I38" i="1"/>
  <c r="I39" i="1"/>
  <c r="I3" i="1"/>
</calcChain>
</file>

<file path=xl/sharedStrings.xml><?xml version="1.0" encoding="utf-8"?>
<sst xmlns="http://schemas.openxmlformats.org/spreadsheetml/2006/main" count="14" uniqueCount="13">
  <si>
    <t>缺陷数据</t>
  </si>
  <si>
    <t>缺陷编号</t>
  </si>
  <si>
    <t>X</t>
  </si>
  <si>
    <t>Y</t>
  </si>
  <si>
    <t>Z</t>
  </si>
  <si>
    <t>d=7.74（直径）</t>
  </si>
  <si>
    <t>d=7.98</t>
  </si>
  <si>
    <t>d=7.76</t>
  </si>
  <si>
    <t>d=7.86</t>
  </si>
  <si>
    <t>d=7.78</t>
  </si>
  <si>
    <t>d=7.96</t>
  </si>
  <si>
    <t>d=7.94</t>
  </si>
  <si>
    <t>方形缺陷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</si>
</sst>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22" workbookViewId="0">
      <selection activeCell="D37" sqref="D37"/>
    </sheetView>
  </sheetViews>
  <sheetFormatPr defaultColWidth="9" defaultRowHeight="14.15" x14ac:dyDescent="0.3"/>
  <cols>
    <col min="1" max="4" width="9" style="1"/>
    <col min="6" max="6" width="17.921875" customWidth="1"/>
  </cols>
  <sheetData>
    <row r="1" spans="1:9" x14ac:dyDescent="0.3">
      <c r="A1" s="3" t="s">
        <v>0</v>
      </c>
      <c r="B1" s="3"/>
      <c r="C1" s="3"/>
      <c r="D1" s="3"/>
      <c r="F1" s="4">
        <f>0.012/256</f>
        <v>4.6875000000000001E-5</v>
      </c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F2" s="4">
        <f t="shared" ref="F2:F39" si="0">0.012/256</f>
        <v>4.6875000000000001E-5</v>
      </c>
    </row>
    <row r="3" spans="1:9" x14ac:dyDescent="0.3">
      <c r="A3" s="1">
        <v>1</v>
      </c>
      <c r="B3" s="1">
        <v>11.08</v>
      </c>
      <c r="C3" s="1">
        <v>7.52</v>
      </c>
      <c r="D3" s="1">
        <v>2.46</v>
      </c>
      <c r="F3" s="4">
        <f t="shared" si="0"/>
        <v>4.6875000000000001E-5</v>
      </c>
      <c r="I3">
        <f>ROUND(D3/F3/1000,0)</f>
        <v>52</v>
      </c>
    </row>
    <row r="4" spans="1:9" x14ac:dyDescent="0.3">
      <c r="A4" s="1">
        <v>2</v>
      </c>
      <c r="B4" s="1">
        <v>9.86</v>
      </c>
      <c r="C4" s="1">
        <v>7.46</v>
      </c>
      <c r="D4" s="1">
        <v>2.2000000000000002</v>
      </c>
      <c r="F4" s="4">
        <f t="shared" si="0"/>
        <v>4.6875000000000001E-5</v>
      </c>
      <c r="I4">
        <f t="shared" ref="I4:I39" si="1">ROUND(D4/F4/1000,0)</f>
        <v>47</v>
      </c>
    </row>
    <row r="5" spans="1:9" x14ac:dyDescent="0.3">
      <c r="A5" s="1">
        <v>3</v>
      </c>
      <c r="B5" s="1">
        <v>11.06</v>
      </c>
      <c r="C5" s="1">
        <v>7.4</v>
      </c>
      <c r="D5" s="1">
        <v>1.6</v>
      </c>
      <c r="F5" s="4">
        <f t="shared" si="0"/>
        <v>4.6875000000000001E-5</v>
      </c>
      <c r="I5">
        <f t="shared" si="1"/>
        <v>34</v>
      </c>
    </row>
    <row r="6" spans="1:9" x14ac:dyDescent="0.3">
      <c r="A6" s="1">
        <v>4</v>
      </c>
      <c r="B6" s="1">
        <v>9.64</v>
      </c>
      <c r="C6" s="1">
        <v>7.56</v>
      </c>
      <c r="D6" s="1">
        <v>1.76</v>
      </c>
      <c r="F6" s="4">
        <f t="shared" si="0"/>
        <v>4.6875000000000001E-5</v>
      </c>
      <c r="I6">
        <f t="shared" si="1"/>
        <v>38</v>
      </c>
    </row>
    <row r="7" spans="1:9" x14ac:dyDescent="0.3">
      <c r="A7" s="1">
        <v>5</v>
      </c>
      <c r="B7" s="1">
        <v>11.44</v>
      </c>
      <c r="C7" s="1">
        <v>7.34</v>
      </c>
      <c r="D7" s="1">
        <v>3.96</v>
      </c>
      <c r="F7" s="4">
        <f t="shared" si="0"/>
        <v>4.6875000000000001E-5</v>
      </c>
      <c r="I7">
        <f t="shared" si="1"/>
        <v>84</v>
      </c>
    </row>
    <row r="8" spans="1:9" x14ac:dyDescent="0.3">
      <c r="A8" s="1">
        <v>6</v>
      </c>
      <c r="B8" s="1">
        <v>12.4</v>
      </c>
      <c r="C8" s="1">
        <v>7.2</v>
      </c>
      <c r="D8" s="1">
        <v>3.32</v>
      </c>
      <c r="F8" s="4">
        <f t="shared" si="0"/>
        <v>4.6875000000000001E-5</v>
      </c>
      <c r="I8">
        <f t="shared" si="1"/>
        <v>71</v>
      </c>
    </row>
    <row r="9" spans="1:9" x14ac:dyDescent="0.3">
      <c r="A9" s="1">
        <v>7</v>
      </c>
      <c r="B9" s="1">
        <v>9.8000000000000007</v>
      </c>
      <c r="C9" s="1">
        <v>7.66</v>
      </c>
      <c r="D9" s="1">
        <v>1.02</v>
      </c>
      <c r="F9" s="4">
        <f t="shared" si="0"/>
        <v>4.6875000000000001E-5</v>
      </c>
      <c r="I9">
        <f t="shared" si="1"/>
        <v>22</v>
      </c>
    </row>
    <row r="10" spans="1:9" x14ac:dyDescent="0.3">
      <c r="A10" s="1">
        <v>8</v>
      </c>
      <c r="B10" s="1">
        <v>11.98</v>
      </c>
      <c r="C10" s="1">
        <v>7.6</v>
      </c>
      <c r="D10" s="1">
        <v>1.8</v>
      </c>
      <c r="F10" s="4">
        <f t="shared" si="0"/>
        <v>4.6875000000000001E-5</v>
      </c>
      <c r="I10">
        <f t="shared" si="1"/>
        <v>38</v>
      </c>
    </row>
    <row r="11" spans="1:9" x14ac:dyDescent="0.3">
      <c r="A11" s="1">
        <v>9</v>
      </c>
      <c r="B11" s="1">
        <v>11.6</v>
      </c>
      <c r="C11" s="1">
        <v>7.56</v>
      </c>
      <c r="D11" s="1">
        <v>3.52</v>
      </c>
      <c r="F11" s="4">
        <f t="shared" si="0"/>
        <v>4.6875000000000001E-5</v>
      </c>
      <c r="I11">
        <f t="shared" si="1"/>
        <v>75</v>
      </c>
    </row>
    <row r="12" spans="1:9" x14ac:dyDescent="0.3">
      <c r="A12" s="1">
        <v>10</v>
      </c>
      <c r="B12" s="1">
        <v>10.86</v>
      </c>
      <c r="C12" s="1">
        <v>7.54</v>
      </c>
      <c r="D12" s="1">
        <v>1.98</v>
      </c>
      <c r="F12" s="4">
        <f t="shared" si="0"/>
        <v>4.6875000000000001E-5</v>
      </c>
      <c r="I12">
        <f t="shared" si="1"/>
        <v>42</v>
      </c>
    </row>
    <row r="13" spans="1:9" x14ac:dyDescent="0.3">
      <c r="A13" s="1">
        <v>11</v>
      </c>
      <c r="B13" s="1">
        <v>11.7</v>
      </c>
      <c r="C13" s="1">
        <v>7.56</v>
      </c>
      <c r="D13" s="1">
        <v>1.8</v>
      </c>
      <c r="F13" s="4">
        <f t="shared" si="0"/>
        <v>4.6875000000000001E-5</v>
      </c>
      <c r="I13">
        <f t="shared" si="1"/>
        <v>38</v>
      </c>
    </row>
    <row r="14" spans="1:9" x14ac:dyDescent="0.3">
      <c r="A14" s="1">
        <v>12</v>
      </c>
      <c r="B14" s="1">
        <v>12.24</v>
      </c>
      <c r="C14" s="1">
        <v>7.54</v>
      </c>
      <c r="D14" s="1">
        <v>1.84</v>
      </c>
      <c r="F14" s="4">
        <f t="shared" si="0"/>
        <v>4.6875000000000001E-5</v>
      </c>
      <c r="I14">
        <f t="shared" si="1"/>
        <v>39</v>
      </c>
    </row>
    <row r="15" spans="1:9" x14ac:dyDescent="0.3">
      <c r="A15" s="1">
        <v>13</v>
      </c>
      <c r="B15" s="1">
        <v>14.74</v>
      </c>
      <c r="C15" s="1">
        <v>7.38</v>
      </c>
      <c r="D15" s="1">
        <v>7.96</v>
      </c>
      <c r="F15" s="4">
        <f t="shared" si="0"/>
        <v>4.6875000000000001E-5</v>
      </c>
      <c r="I15">
        <f t="shared" si="1"/>
        <v>170</v>
      </c>
    </row>
    <row r="16" spans="1:9" x14ac:dyDescent="0.3">
      <c r="A16" s="1">
        <v>14</v>
      </c>
      <c r="B16" s="3" t="s">
        <v>5</v>
      </c>
      <c r="C16" s="3"/>
      <c r="D16" s="1">
        <v>6.98</v>
      </c>
      <c r="F16" s="4">
        <f t="shared" si="0"/>
        <v>4.6875000000000001E-5</v>
      </c>
      <c r="I16">
        <f t="shared" si="1"/>
        <v>149</v>
      </c>
    </row>
    <row r="17" spans="1:9" x14ac:dyDescent="0.3">
      <c r="A17" s="1">
        <v>15</v>
      </c>
      <c r="B17" s="1">
        <v>7.76</v>
      </c>
      <c r="C17" s="1">
        <v>8.9</v>
      </c>
      <c r="D17" s="1">
        <v>7.76</v>
      </c>
      <c r="F17" s="4">
        <f t="shared" si="0"/>
        <v>4.6875000000000001E-5</v>
      </c>
      <c r="I17">
        <f t="shared" si="1"/>
        <v>166</v>
      </c>
    </row>
    <row r="18" spans="1:9" x14ac:dyDescent="0.3">
      <c r="A18" s="1">
        <v>16</v>
      </c>
      <c r="B18" s="1">
        <v>7.46</v>
      </c>
      <c r="C18" s="1">
        <v>10.84</v>
      </c>
      <c r="D18" s="1">
        <v>7.76</v>
      </c>
      <c r="F18" s="4">
        <f t="shared" si="0"/>
        <v>4.6875000000000001E-5</v>
      </c>
      <c r="I18">
        <f t="shared" si="1"/>
        <v>166</v>
      </c>
    </row>
    <row r="19" spans="1:9" x14ac:dyDescent="0.3">
      <c r="A19" s="1">
        <v>17</v>
      </c>
      <c r="B19" s="1">
        <v>11.2</v>
      </c>
      <c r="C19" s="1">
        <v>7.66</v>
      </c>
      <c r="D19" s="1">
        <v>7.78</v>
      </c>
      <c r="F19" s="4">
        <f t="shared" si="0"/>
        <v>4.6875000000000001E-5</v>
      </c>
      <c r="I19">
        <f t="shared" si="1"/>
        <v>166</v>
      </c>
    </row>
    <row r="20" spans="1:9" x14ac:dyDescent="0.3">
      <c r="A20" s="1">
        <v>18</v>
      </c>
      <c r="B20" s="3" t="s">
        <v>6</v>
      </c>
      <c r="C20" s="3"/>
      <c r="D20" s="1">
        <v>8.44</v>
      </c>
      <c r="F20" s="4">
        <f t="shared" si="0"/>
        <v>4.6875000000000001E-5</v>
      </c>
      <c r="I20">
        <f t="shared" si="1"/>
        <v>180</v>
      </c>
    </row>
    <row r="21" spans="1:9" x14ac:dyDescent="0.3">
      <c r="A21" s="1">
        <v>19</v>
      </c>
      <c r="B21" s="3" t="s">
        <v>7</v>
      </c>
      <c r="C21" s="3"/>
      <c r="D21" s="1">
        <v>8.16</v>
      </c>
      <c r="F21" s="4">
        <f t="shared" si="0"/>
        <v>4.6875000000000001E-5</v>
      </c>
      <c r="I21">
        <f t="shared" si="1"/>
        <v>174</v>
      </c>
    </row>
    <row r="22" spans="1:9" x14ac:dyDescent="0.3">
      <c r="A22" s="1">
        <v>20</v>
      </c>
      <c r="B22" s="3" t="s">
        <v>8</v>
      </c>
      <c r="C22" s="3"/>
      <c r="D22" s="2">
        <v>8.1999999999999993</v>
      </c>
      <c r="F22" s="4">
        <f t="shared" si="0"/>
        <v>4.6875000000000001E-5</v>
      </c>
      <c r="I22">
        <f t="shared" si="1"/>
        <v>175</v>
      </c>
    </row>
    <row r="23" spans="1:9" x14ac:dyDescent="0.3">
      <c r="A23" s="1">
        <v>21</v>
      </c>
      <c r="B23" s="3" t="s">
        <v>9</v>
      </c>
      <c r="C23" s="3"/>
      <c r="D23" s="1">
        <v>7.98</v>
      </c>
      <c r="F23" s="4">
        <f t="shared" si="0"/>
        <v>4.6875000000000001E-5</v>
      </c>
      <c r="I23">
        <f t="shared" si="1"/>
        <v>170</v>
      </c>
    </row>
    <row r="24" spans="1:9" x14ac:dyDescent="0.3">
      <c r="A24" s="1">
        <v>22</v>
      </c>
      <c r="B24" s="3" t="s">
        <v>10</v>
      </c>
      <c r="C24" s="3"/>
      <c r="D24" s="1">
        <v>8</v>
      </c>
      <c r="F24" s="4">
        <f t="shared" si="0"/>
        <v>4.6875000000000001E-5</v>
      </c>
      <c r="I24">
        <f t="shared" si="1"/>
        <v>171</v>
      </c>
    </row>
    <row r="25" spans="1:9" x14ac:dyDescent="0.3">
      <c r="A25" s="1">
        <v>23</v>
      </c>
      <c r="B25" s="3" t="s">
        <v>10</v>
      </c>
      <c r="C25" s="3"/>
      <c r="D25" s="1">
        <v>7.96</v>
      </c>
      <c r="F25" s="4">
        <f t="shared" si="0"/>
        <v>4.6875000000000001E-5</v>
      </c>
      <c r="I25">
        <f t="shared" si="1"/>
        <v>170</v>
      </c>
    </row>
    <row r="26" spans="1:9" x14ac:dyDescent="0.3">
      <c r="A26" s="1">
        <v>24</v>
      </c>
      <c r="B26" s="3" t="s">
        <v>11</v>
      </c>
      <c r="C26" s="3"/>
      <c r="D26" s="1">
        <v>7.86</v>
      </c>
      <c r="F26" s="4">
        <f t="shared" si="0"/>
        <v>4.6875000000000001E-5</v>
      </c>
      <c r="I26">
        <f t="shared" si="1"/>
        <v>168</v>
      </c>
    </row>
    <row r="27" spans="1:9" x14ac:dyDescent="0.3">
      <c r="A27" s="1" t="s">
        <v>12</v>
      </c>
      <c r="F27" s="4">
        <f t="shared" si="0"/>
        <v>4.6875000000000001E-5</v>
      </c>
      <c r="I27">
        <f t="shared" si="1"/>
        <v>0</v>
      </c>
    </row>
    <row r="28" spans="1:9" x14ac:dyDescent="0.3">
      <c r="A28" s="1">
        <v>1</v>
      </c>
      <c r="B28" s="1">
        <v>22.1</v>
      </c>
      <c r="C28" s="1">
        <v>27.32</v>
      </c>
      <c r="D28" s="1">
        <v>1.8</v>
      </c>
      <c r="F28" s="4">
        <f t="shared" si="0"/>
        <v>4.6875000000000001E-5</v>
      </c>
      <c r="I28">
        <f t="shared" si="1"/>
        <v>38</v>
      </c>
    </row>
    <row r="29" spans="1:9" x14ac:dyDescent="0.3">
      <c r="A29" s="1">
        <v>2</v>
      </c>
      <c r="B29" s="1">
        <v>22.42</v>
      </c>
      <c r="C29" s="1">
        <v>22.2</v>
      </c>
      <c r="D29" s="1">
        <v>2.66</v>
      </c>
      <c r="F29" s="4">
        <f t="shared" si="0"/>
        <v>4.6875000000000001E-5</v>
      </c>
      <c r="I29">
        <f t="shared" si="1"/>
        <v>57</v>
      </c>
    </row>
    <row r="30" spans="1:9" x14ac:dyDescent="0.3">
      <c r="A30" s="1">
        <v>3</v>
      </c>
      <c r="B30" s="1">
        <v>27.66</v>
      </c>
      <c r="C30" s="1">
        <v>26.82</v>
      </c>
      <c r="D30" s="1">
        <v>1.8</v>
      </c>
      <c r="F30" s="4">
        <f t="shared" si="0"/>
        <v>4.6875000000000001E-5</v>
      </c>
      <c r="I30">
        <f t="shared" si="1"/>
        <v>38</v>
      </c>
    </row>
    <row r="31" spans="1:9" x14ac:dyDescent="0.3">
      <c r="A31" s="1">
        <v>4</v>
      </c>
      <c r="B31" s="1">
        <v>24.72</v>
      </c>
      <c r="C31" s="1">
        <v>24</v>
      </c>
      <c r="D31" s="1">
        <v>1.1000000000000001</v>
      </c>
      <c r="F31" s="4">
        <f t="shared" si="0"/>
        <v>4.6875000000000001E-5</v>
      </c>
      <c r="I31">
        <f t="shared" si="1"/>
        <v>23</v>
      </c>
    </row>
    <row r="32" spans="1:9" x14ac:dyDescent="0.3">
      <c r="A32" s="1">
        <v>5</v>
      </c>
      <c r="B32" s="1">
        <v>22</v>
      </c>
      <c r="C32" s="1">
        <v>28.18</v>
      </c>
      <c r="D32" s="1">
        <v>1.48</v>
      </c>
      <c r="F32" s="4">
        <f t="shared" si="0"/>
        <v>4.6875000000000001E-5</v>
      </c>
      <c r="I32">
        <f t="shared" si="1"/>
        <v>32</v>
      </c>
    </row>
    <row r="33" spans="1:9" x14ac:dyDescent="0.3">
      <c r="A33" s="1">
        <v>6</v>
      </c>
      <c r="B33" s="1">
        <v>26.18</v>
      </c>
      <c r="C33" s="1">
        <v>24.8</v>
      </c>
      <c r="D33" s="1">
        <v>1.18</v>
      </c>
      <c r="F33" s="4">
        <f t="shared" si="0"/>
        <v>4.6875000000000001E-5</v>
      </c>
      <c r="I33">
        <f t="shared" si="1"/>
        <v>25</v>
      </c>
    </row>
    <row r="34" spans="1:9" x14ac:dyDescent="0.3">
      <c r="A34" s="1">
        <v>7</v>
      </c>
      <c r="B34" s="1">
        <v>17.5</v>
      </c>
      <c r="C34" s="1">
        <v>25.36</v>
      </c>
      <c r="D34" s="1">
        <v>2.54</v>
      </c>
      <c r="F34" s="4">
        <f t="shared" si="0"/>
        <v>4.6875000000000001E-5</v>
      </c>
      <c r="I34">
        <f t="shared" si="1"/>
        <v>54</v>
      </c>
    </row>
    <row r="35" spans="1:9" x14ac:dyDescent="0.3">
      <c r="A35" s="1">
        <v>8</v>
      </c>
      <c r="B35" s="1">
        <v>22.2</v>
      </c>
      <c r="C35" s="1">
        <v>22.54</v>
      </c>
      <c r="D35" s="1">
        <v>0.74</v>
      </c>
      <c r="F35" s="4">
        <f t="shared" si="0"/>
        <v>4.6875000000000001E-5</v>
      </c>
      <c r="I35">
        <f t="shared" si="1"/>
        <v>16</v>
      </c>
    </row>
    <row r="36" spans="1:9" x14ac:dyDescent="0.3">
      <c r="A36" s="1">
        <v>9</v>
      </c>
      <c r="B36" s="1">
        <v>26.9</v>
      </c>
      <c r="C36" s="1">
        <v>27.56</v>
      </c>
      <c r="D36" s="1">
        <v>1.22</v>
      </c>
      <c r="F36" s="4">
        <f t="shared" si="0"/>
        <v>4.6875000000000001E-5</v>
      </c>
      <c r="I36">
        <f t="shared" si="1"/>
        <v>26</v>
      </c>
    </row>
    <row r="37" spans="1:9" x14ac:dyDescent="0.3">
      <c r="A37" s="1">
        <v>10</v>
      </c>
      <c r="B37" s="1">
        <v>24.6</v>
      </c>
      <c r="C37" s="1">
        <v>26.34</v>
      </c>
      <c r="D37" s="1">
        <v>1.38</v>
      </c>
      <c r="F37" s="4">
        <f t="shared" si="0"/>
        <v>4.6875000000000001E-5</v>
      </c>
      <c r="I37">
        <f t="shared" si="1"/>
        <v>29</v>
      </c>
    </row>
    <row r="38" spans="1:9" x14ac:dyDescent="0.3">
      <c r="A38" s="1">
        <v>11</v>
      </c>
      <c r="B38" s="1">
        <v>25.7</v>
      </c>
      <c r="C38" s="1">
        <v>25.6</v>
      </c>
      <c r="D38" s="1">
        <v>2</v>
      </c>
      <c r="F38" s="4">
        <f t="shared" si="0"/>
        <v>4.6875000000000001E-5</v>
      </c>
      <c r="I38">
        <f t="shared" si="1"/>
        <v>43</v>
      </c>
    </row>
    <row r="39" spans="1:9" x14ac:dyDescent="0.3">
      <c r="A39" s="1">
        <v>12</v>
      </c>
      <c r="B39" s="1">
        <v>27.92</v>
      </c>
      <c r="C39" s="1">
        <v>24.58</v>
      </c>
      <c r="D39" s="1">
        <v>1.76</v>
      </c>
      <c r="F39" s="4">
        <f t="shared" si="0"/>
        <v>4.6875000000000001E-5</v>
      </c>
      <c r="I39">
        <f t="shared" si="1"/>
        <v>38</v>
      </c>
    </row>
  </sheetData>
  <mergeCells count="9">
    <mergeCell ref="B23:C23"/>
    <mergeCell ref="B24:C24"/>
    <mergeCell ref="B25:C25"/>
    <mergeCell ref="B26:C26"/>
    <mergeCell ref="A1:D1"/>
    <mergeCell ref="B16:C16"/>
    <mergeCell ref="B20:C20"/>
    <mergeCell ref="B21:C21"/>
    <mergeCell ref="B22:C22"/>
  </mergeCells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WindyAwaki</cp:lastModifiedBy>
  <dcterms:created xsi:type="dcterms:W3CDTF">2025-07-10T10:13:46Z</dcterms:created>
  <dcterms:modified xsi:type="dcterms:W3CDTF">2026-03-12T10:36:39Z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239D96D04D5143059E41832E62DF64BE_11</vt:lpwstr>
  </property>
  <property fmtid="{D5CDD505-2E9C-101B-9397-08002B2CF9AE}" pid="3" name="KSOProductBuildVer">
    <vt:lpwstr>2052-12.1.0.21915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2026-03-12T01:56:06Z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99f73666-7cbe-44aa-a28b-b4e707fb608b</vt:lpwstr>
  </property>
  <property fmtid="{D5CDD505-2E9C-101B-9397-08002B2CF9AE}" pid="9" name="MSIP_Label_defa4170-0d19-0005-0004-bc88714345d2_ActionId">
    <vt:lpwstr>6a7fde44-ee87-4047-b5f8-b8990bbd2b72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